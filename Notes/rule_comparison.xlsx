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le 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<sst xmlns="http://schemas.openxmlformats.org/spreadsheetml/2006/main" count="35" uniqueCount="35">
  <si>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UPI Fraud Project - Rule Comparison (Day 6)</t>
  </si>
  <si>
    <t xml:space="preserve">PaySim synthetic data. Dataset gives no currency, so values are in the dataset's own units.</t>
  </si>
  <si>
    <t xml:space="preserve">Assumptions</t>
  </si>
  <si>
    <t xml:space="preserve">Review cost per flagged transaction</t>
  </si>
  <si>
    <t xml:space="preserve">Assumed, not real. Change this cell to test.</t>
  </si>
  <si>
    <t xml:space="preserve">Total fraud transactions</t>
  </si>
  <si>
    <t xml:space="preserve">From Day 1 count</t>
  </si>
  <si>
    <t xml:space="preserve">Fraud value flagged by old system</t>
  </si>
  <si>
    <t xml:space="preserve">Day 6 query 3 (is_flagged_fraud = 1)</t>
  </si>
  <si>
    <t xml:space="preserve">Fraud value NOT flagged by old system</t>
  </si>
  <si>
    <t xml:space="preserve">Day 6 query 3 (is_flagged_fraud = 0)</t>
  </si>
  <si>
    <t xml:space="preserve">Total fraud value</t>
  </si>
  <si>
    <t xml:space="preserve">Rule</t>
  </si>
  <si>
    <t xml:space="preserve">Fraud caught</t>
  </si>
  <si>
    <t xml:space="preserve">False alarms</t>
  </si>
  <si>
    <t xml:space="preserve">Fraud value caught</t>
  </si>
  <si>
    <t xml:space="preserve">Alerts</t>
  </si>
  <si>
    <t xml:space="preserve">Recall (count)</t>
  </si>
  <si>
    <t xml:space="preserve">Precision</t>
  </si>
  <si>
    <t xml:space="preserve">Value caught %</t>
  </si>
  <si>
    <t xml:space="preserve">Review cost</t>
  </si>
  <si>
    <t xml:space="preserve">Net benefit</t>
  </si>
  <si>
    <t xml:space="preserve">Break-even review cost</t>
  </si>
  <si>
    <t xml:space="preserve">Old system (is_flagged_fraud)</t>
  </si>
  <si>
    <t xml:space="preserve">Big amount rule (&gt; 1,000,000)</t>
  </si>
  <si>
    <t xml:space="preserve">Rule 2 (full balance / 1 crore cap)</t>
  </si>
  <si>
    <t xml:space="preserve">Notes</t>
  </si>
  <si>
    <t xml:space="preserve">Colour code: blue = copied from MySQL Workbench query results, black = formulas, yellow = cell to change.</t>
  </si>
  <si>
    <t xml:space="preserve">Source: Day 6 queries (rule 2 report card, big amount rule, old system fraud value). Run on upi_fraud.transactions.</t>
  </si>
  <si>
    <t xml:space="preserve">Old system false alarms = 0 because no row had is_flagged_fraud = 1 with is_fraud = 0.</t>
  </si>
  <si>
    <t xml:space="preserve">Recall = fraud caught / total fraud. Precision = fraud caught / alerts (share of alerts that were real fraud).</t>
  </si>
  <si>
    <t xml:space="preserve">Net benefit = fraud value caught minus review cost. Simplification: assumes all caught fraud value is saved.</t>
  </si>
  <si>
    <t xml:space="preserve">Review cost of 1,000 per alert is an assumption for illustration, not a real figure.</t>
  </si>
  <si>
    <t xml:space="preserve">Rule 2 was designed on the same data it is tested on, so results are optimistic. The data is synthetic.</t>
  </si>
  <si>
    <t xml:space="preserve">Break-even review cost = fraud value caught / alerts. It is the review cost per alert at which net benefit falls to zero.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</si>
</sst>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05496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0" min="10" style="0" width="22"/>
    <col collapsed="false" customWidth="true" hidden="false" outlineLevel="0" max="11" min="11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1000</v>
      </c>
      <c r="C5" s="6" t="s">
        <v>4</v>
      </c>
    </row>
    <row r="6" customFormat="false" ht="15" hidden="false" customHeight="false" outlineLevel="0" collapsed="false">
      <c r="A6" s="4" t="s">
        <v>5</v>
      </c>
      <c r="B6" s="7" t="n">
        <v>8213</v>
      </c>
      <c r="C6" s="6" t="s">
        <v>6</v>
      </c>
    </row>
    <row r="7" customFormat="false" ht="15" hidden="false" customHeight="false" outlineLevel="0" collapsed="false">
      <c r="A7" s="4" t="s">
        <v>7</v>
      </c>
      <c r="B7" s="8" t="n">
        <v>77785563.69</v>
      </c>
      <c r="C7" s="6" t="s">
        <v>8</v>
      </c>
    </row>
    <row r="8" customFormat="false" ht="15" hidden="false" customHeight="false" outlineLevel="0" collapsed="false">
      <c r="A8" s="4" t="s">
        <v>9</v>
      </c>
      <c r="B8" s="8" t="n">
        <v>11978629864.15</v>
      </c>
      <c r="C8" s="6" t="s">
        <v>10</v>
      </c>
    </row>
    <row r="9" customFormat="false" ht="15" hidden="false" customHeight="false" outlineLevel="0" collapsed="false">
      <c r="A9" s="9" t="s">
        <v>11</v>
      </c>
      <c r="B9" s="10" t="n">
        <f aca="false">B7+B8</f>
        <v>12056415427.84</v>
      </c>
    </row>
    <row r="11" customFormat="false" ht="31.5" hidden="false" customHeight="true" outlineLevel="0" collapsed="false">
      <c r="A11" s="11" t="s">
        <v>12</v>
      </c>
      <c r="B11" s="11" t="s">
        <v>13</v>
      </c>
      <c r="C11" s="11" t="s">
        <v>14</v>
      </c>
      <c r="D11" s="11" t="s">
        <v>15</v>
      </c>
      <c r="E11" s="11" t="s">
        <v>16</v>
      </c>
      <c r="F11" s="11" t="s">
        <v>17</v>
      </c>
      <c r="G11" s="11" t="s">
        <v>18</v>
      </c>
      <c r="H11" s="11" t="s">
        <v>19</v>
      </c>
      <c r="I11" s="11" t="s">
        <v>20</v>
      </c>
      <c r="J11" s="11" t="s">
        <v>21</v>
      </c>
      <c r="K11" s="11" t="s">
        <v>22</v>
      </c>
    </row>
    <row r="12" customFormat="false" ht="15" hidden="false" customHeight="false" outlineLevel="0" collapsed="false">
      <c r="A12" s="4" t="s">
        <v>23</v>
      </c>
      <c r="B12" s="7" t="n">
        <v>16</v>
      </c>
      <c r="C12" s="7" t="n">
        <v>0</v>
      </c>
      <c r="D12" s="8" t="n">
        <v>77785563.69</v>
      </c>
      <c r="E12" s="12" t="n">
        <f aca="false">B12+C12</f>
        <v>16</v>
      </c>
      <c r="F12" s="13" t="n">
        <f aca="false">B12/$B$6</f>
        <v>0.00194813101181054</v>
      </c>
      <c r="G12" s="13" t="n">
        <f aca="false">IF(E12=0,0,B12/E12)</f>
        <v>1</v>
      </c>
      <c r="H12" s="13" t="n">
        <f aca="false">D12/$B$9</f>
        <v>0.00645179855949405</v>
      </c>
      <c r="I12" s="14" t="n">
        <f aca="false">E12*$B$5</f>
        <v>16000</v>
      </c>
      <c r="J12" s="14" t="n">
        <f aca="false">D12-I12</f>
        <v>77769563.69</v>
      </c>
      <c r="K12" s="12" t="n">
        <f aca="false">IF(E12=0,0,D12/E12)</f>
        <v>4861597.730625</v>
      </c>
    </row>
    <row r="13" customFormat="false" ht="15" hidden="false" customHeight="false" outlineLevel="0" collapsed="false">
      <c r="A13" s="4" t="s">
        <v>24</v>
      </c>
      <c r="B13" s="7" t="n">
        <v>2706</v>
      </c>
      <c r="C13" s="7" t="n">
        <v>127801</v>
      </c>
      <c r="D13" s="8" t="n">
        <v>10460722308.95</v>
      </c>
      <c r="E13" s="12" t="n">
        <f aca="false">B13+C13</f>
        <v>130507</v>
      </c>
      <c r="F13" s="13" t="n">
        <f aca="false">B13/$B$6</f>
        <v>0.329477657372458</v>
      </c>
      <c r="G13" s="13" t="n">
        <f aca="false">IF(E13=0,0,B13/E13)</f>
        <v>0.0207345199874336</v>
      </c>
      <c r="H13" s="13" t="n">
        <f aca="false">D13/$B$9</f>
        <v>0.867647798929911</v>
      </c>
      <c r="I13" s="14" t="n">
        <f aca="false">E13*$B$5</f>
        <v>130507000</v>
      </c>
      <c r="J13" s="14" t="n">
        <f aca="false">D13-I13</f>
        <v>10330215308.95</v>
      </c>
      <c r="K13" s="12" t="n">
        <f aca="false">IF(E13=0,0,D13/E13)</f>
        <v>80154.4921647881</v>
      </c>
    </row>
    <row r="14" customFormat="false" ht="15" hidden="false" customHeight="false" outlineLevel="0" collapsed="false">
      <c r="A14" s="4" t="s">
        <v>25</v>
      </c>
      <c r="B14" s="7" t="n">
        <v>8163</v>
      </c>
      <c r="C14" s="7" t="n">
        <v>0</v>
      </c>
      <c r="D14" s="8" t="n">
        <v>12027883640.01</v>
      </c>
      <c r="E14" s="12" t="n">
        <f aca="false">B14+C14</f>
        <v>8163</v>
      </c>
      <c r="F14" s="13" t="n">
        <f aca="false">B14/$B$6</f>
        <v>0.993912090588092</v>
      </c>
      <c r="G14" s="13" t="n">
        <f aca="false">IF(E14=0,0,B14/E14)</f>
        <v>1</v>
      </c>
      <c r="H14" s="13" t="n">
        <f aca="false">D14/$B$9</f>
        <v>0.99763347671613</v>
      </c>
      <c r="I14" s="14" t="n">
        <f aca="false">E14*$B$5</f>
        <v>8163000</v>
      </c>
      <c r="J14" s="14" t="n">
        <f aca="false">D14-I14</f>
        <v>12019720640.01</v>
      </c>
      <c r="K14" s="12" t="n">
        <f aca="false">IF(E14=0,0,D14/E14)</f>
        <v>1473463.63346931</v>
      </c>
    </row>
    <row r="16" customFormat="false" ht="15" hidden="false" customHeight="false" outlineLevel="0" collapsed="false">
      <c r="A16" s="3" t="s">
        <v>26</v>
      </c>
    </row>
    <row r="17" customFormat="false" ht="15" hidden="false" customHeight="false" outlineLevel="0" collapsed="false">
      <c r="A17" s="6" t="s">
        <v>27</v>
      </c>
    </row>
    <row r="18" customFormat="false" ht="15" hidden="false" customHeight="false" outlineLevel="0" collapsed="false">
      <c r="A18" s="6" t="s">
        <v>28</v>
      </c>
    </row>
    <row r="19" customFormat="false" ht="15" hidden="false" customHeight="false" outlineLevel="0" collapsed="false">
      <c r="A19" s="6" t="s">
        <v>29</v>
      </c>
    </row>
    <row r="20" customFormat="false" ht="15" hidden="false" customHeight="false" outlineLevel="0" collapsed="false">
      <c r="A20" s="6" t="s">
        <v>30</v>
      </c>
    </row>
    <row r="21" customFormat="false" ht="15" hidden="false" customHeight="false" outlineLevel="0" collapsed="false">
      <c r="A21" s="6" t="s">
        <v>31</v>
      </c>
    </row>
    <row r="22" customFormat="false" ht="15" hidden="false" customHeight="false" outlineLevel="0" collapsed="false">
      <c r="A22" s="6" t="s">
        <v>32</v>
      </c>
    </row>
    <row r="23" customFormat="false" ht="15" hidden="false" customHeight="false" outlineLevel="0" collapsed="false">
      <c r="A23" s="6" t="s">
        <v>33</v>
      </c>
    </row>
    <row r="24" customFormat="false" ht="15" hidden="false" customHeight="false" outlineLevel="0" collapsed="false">
      <c r="A24" s="6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2026-10-09T16:04:12Z</dcterms:created>
  <dc:creator>openpyxl</dc:creator>
  <dc:description/>
  <dc:language>en-US</dc:language>
  <cp:lastModifiedBy/>
  <dcterms:modified xsi:type="dcterms:W3CDTF">2026-10-09T16:04:12Z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